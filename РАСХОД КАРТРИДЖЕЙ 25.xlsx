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r\Obshie papki\ADMIN\"/>
    </mc:Choice>
  </mc:AlternateContent>
  <xr:revisionPtr revIDLastSave="0" documentId="13_ncr:1_{61DE3503-617C-44BB-853F-0264045DB66C}" xr6:coauthVersionLast="47" xr6:coauthVersionMax="47" xr10:uidLastSave="{00000000-0000-0000-0000-000000000000}"/>
  <bookViews>
    <workbookView xWindow="-120" yWindow="-120" windowWidth="29040" windowHeight="15840" xr2:uid="{6EA3FD7F-512F-4A1F-97D0-7C3A2EF9E659}"/>
  </bookViews>
  <sheets>
    <sheet name="Лист1" sheetId="1" r:id="rId1"/>
  </sheets>
  <calcPr calcId="191029" iterate="1" iterateCount="2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70" i="1" l="1"/>
  <c r="AF70" i="1"/>
  <c r="AE71" i="1"/>
  <c r="AF71" i="1"/>
  <c r="AE72" i="1"/>
  <c r="AF72" i="1"/>
  <c r="AE73" i="1"/>
  <c r="AF73" i="1"/>
  <c r="AF69" i="1"/>
  <c r="AE69" i="1"/>
  <c r="AE66" i="1"/>
  <c r="AF66" i="1"/>
  <c r="AE67" i="1"/>
  <c r="AF67" i="1"/>
  <c r="AF65" i="1"/>
  <c r="AE65" i="1"/>
  <c r="AE58" i="1"/>
  <c r="AF58" i="1"/>
  <c r="AE59" i="1"/>
  <c r="AF59" i="1"/>
  <c r="AE60" i="1"/>
  <c r="AF60" i="1"/>
  <c r="AE61" i="1"/>
  <c r="AF61" i="1"/>
  <c r="AE62" i="1"/>
  <c r="AF62" i="1"/>
  <c r="AF57" i="1"/>
  <c r="AE57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F55" i="1"/>
  <c r="AF48" i="1"/>
  <c r="AE4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F38" i="1"/>
  <c r="AE38" i="1"/>
  <c r="AE34" i="1"/>
  <c r="AF34" i="1"/>
  <c r="AE35" i="1"/>
  <c r="AF35" i="1"/>
  <c r="AE36" i="1"/>
  <c r="AF36" i="1"/>
  <c r="AF33" i="1"/>
  <c r="AE33" i="1"/>
  <c r="AE28" i="1"/>
  <c r="AF28" i="1"/>
  <c r="AE29" i="1"/>
  <c r="AF29" i="1"/>
  <c r="AE30" i="1"/>
  <c r="AF30" i="1"/>
  <c r="AE31" i="1"/>
  <c r="AF31" i="1"/>
  <c r="AF27" i="1"/>
  <c r="AE27" i="1"/>
  <c r="AE21" i="1"/>
  <c r="AF21" i="1"/>
  <c r="AE22" i="1"/>
  <c r="AF22" i="1"/>
  <c r="AE23" i="1"/>
  <c r="AF23" i="1"/>
  <c r="AE24" i="1"/>
  <c r="AF24" i="1"/>
  <c r="AE25" i="1"/>
  <c r="AF25" i="1"/>
  <c r="AE17" i="1"/>
  <c r="AF17" i="1"/>
  <c r="AE18" i="1"/>
  <c r="AF18" i="1"/>
  <c r="AE19" i="1"/>
  <c r="AF19" i="1"/>
  <c r="AE20" i="1"/>
  <c r="AF20" i="1"/>
  <c r="AF15" i="1"/>
  <c r="AE15" i="1"/>
  <c r="AE11" i="1"/>
  <c r="AF11" i="1"/>
  <c r="AE12" i="1"/>
  <c r="AF12" i="1"/>
  <c r="AE13" i="1"/>
  <c r="AF13" i="1"/>
  <c r="AF10" i="1"/>
  <c r="AE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0" authorId="0" shapeId="0" xr:uid="{F53AF583-DE3C-407A-AF03-751666479A8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14.01.</t>
        </r>
      </text>
    </comment>
    <comment ref="K11" authorId="0" shapeId="0" xr:uid="{055D1638-EDBA-466D-AAED-297EB23A28C5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заправка 040325
</t>
        </r>
      </text>
    </comment>
    <comment ref="K16" authorId="0" shapeId="0" xr:uid="{FE7D38EE-277C-494E-B43D-A637E3281194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Заправка 109325 
</t>
        </r>
      </text>
    </comment>
    <comment ref="I17" authorId="0" shapeId="0" xr:uid="{1CCA49FE-5240-4624-9B1B-7D7D22AE041A}">
      <text>
        <r>
          <rPr>
            <b/>
            <sz val="9"/>
            <color indexed="81"/>
            <rFont val="Tahoma"/>
            <family val="2"/>
            <charset val="204"/>
          </rPr>
          <t xml:space="preserve">User:
1 заправка 13.02.
</t>
        </r>
      </text>
    </comment>
    <comment ref="K18" authorId="0" shapeId="0" xr:uid="{10D8B887-661E-4570-A6D3-8502681072AF}">
      <text>
        <r>
          <rPr>
            <b/>
            <sz val="9"/>
            <color indexed="81"/>
            <rFont val="Tahoma"/>
            <family val="2"/>
            <charset val="204"/>
          </rPr>
          <t xml:space="preserve">User:
Заправка. Шустрова. 12.03.
</t>
        </r>
      </text>
    </comment>
    <comment ref="M18" authorId="0" shapeId="0" xr:uid="{40A6ED96-3AA2-4D05-A2DD-F972B3A80A86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Шустрова заправка 0304
</t>
        </r>
      </text>
    </comment>
    <comment ref="M19" authorId="0" shapeId="0" xr:uid="{91C8A285-F946-456F-BDD6-02A7F064337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Хапилина 2304
</t>
        </r>
      </text>
    </comment>
    <comment ref="I21" authorId="0" shapeId="0" xr:uid="{6D6137F0-4528-414D-B23C-A3769DE014A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новый 11.02.
</t>
        </r>
      </text>
    </comment>
    <comment ref="M21" authorId="0" shapeId="0" xr:uid="{FC38DFC4-A784-4775-AE28-CEBFAE41E878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Ира 2804
</t>
        </r>
      </text>
    </comment>
    <comment ref="I24" authorId="0" shapeId="0" xr:uid="{1B713169-EE77-47CC-9A75-8651B5473EEE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Новый 270225
</t>
        </r>
      </text>
    </comment>
    <comment ref="I28" authorId="0" shapeId="0" xr:uid="{E9388F2E-4779-4995-B452-868CE0CE801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заправка 13.02.
</t>
        </r>
      </text>
    </comment>
    <comment ref="I34" authorId="0" shapeId="0" xr:uid="{E50EEE35-1EC3-4C65-80A4-CC40C0EDF71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новый 13.02.
</t>
        </r>
      </text>
    </comment>
    <comment ref="M42" authorId="0" shapeId="0" xr:uid="{B89003EB-D66C-41B1-86CB-D4E8D7A8168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0304 новый Ж
</t>
        </r>
      </text>
    </comment>
    <comment ref="I48" authorId="0" shapeId="0" xr:uid="{984CA9EA-F9DE-4F2C-8C81-17C3783983FE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Первая заправка 2402
</t>
        </r>
      </text>
    </comment>
    <comment ref="M52" authorId="0" shapeId="0" xr:uid="{FD8453A3-C9FC-4CD3-BFBB-AAAD84F79895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2804 Глбух
</t>
        </r>
      </text>
    </comment>
    <comment ref="O52" authorId="0" shapeId="0" xr:uid="{E0D1585B-CACD-4DF9-828E-89E7CCD65B2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2205 Овчинникова
</t>
        </r>
      </text>
    </comment>
    <comment ref="I53" authorId="0" shapeId="0" xr:uid="{63292E80-74C0-4A0A-96E1-7109C4DC07F9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Заправка 2702 Рая
</t>
        </r>
      </text>
    </comment>
    <comment ref="M53" authorId="0" shapeId="0" xr:uid="{6413E085-70D7-46D6-A930-87DF91598AE9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Лена 2804 новый
</t>
        </r>
      </text>
    </comment>
    <comment ref="I54" authorId="0" shapeId="0" xr:uid="{64CA1C86-B499-4D64-AEAB-5503A0D20056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Заправка 2402 Лена
</t>
        </r>
      </text>
    </comment>
    <comment ref="M58" authorId="0" shapeId="0" xr:uid="{E3877EF7-FA94-483F-A81F-DCEF6A0FCD06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Конструктора 0404 НОВЫЙ
</t>
        </r>
      </text>
    </comment>
    <comment ref="M62" authorId="0" shapeId="0" xr:uid="{A050EF43-E44F-4DD6-960E-0CB06AA1259E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Калясина заправка 0304
</t>
        </r>
      </text>
    </comment>
    <comment ref="K65" authorId="0" shapeId="0" xr:uid="{6241AAFB-6532-4DF6-92BF-9E0E10DB842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Заправка. Киосера 181. 12.03.
</t>
        </r>
      </text>
    </comment>
    <comment ref="G69" authorId="0" shapeId="0" xr:uid="{728E75EF-DB7E-466C-8DFB-D9CD6302D353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14.01.
</t>
        </r>
      </text>
    </comment>
  </commentList>
</comments>
</file>

<file path=xl/sharedStrings.xml><?xml version="1.0" encoding="utf-8"?>
<sst xmlns="http://schemas.openxmlformats.org/spreadsheetml/2006/main" count="245" uniqueCount="168">
  <si>
    <t>№ п/п</t>
  </si>
  <si>
    <t>Помещение</t>
  </si>
  <si>
    <t>Модель принтера</t>
  </si>
  <si>
    <t>Примерная цена, руб.</t>
  </si>
  <si>
    <t>1 этаж</t>
  </si>
  <si>
    <r>
      <t>1.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</si>
  <si>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Отдел кадров</t>
  </si>
  <si>
    <t>KYOCERA 1125</t>
  </si>
  <si>
    <t>TK-1110</t>
  </si>
  <si>
    <r>
      <t>2.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</si>
  <si>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BROTHER L2365DWR</t>
  </si>
  <si>
    <t>TN2375T</t>
  </si>
  <si>
    <r>
      <t>3.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</si>
  <si>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Снабжение</t>
  </si>
  <si>
    <t>RICOH</t>
  </si>
  <si>
    <t>SP230</t>
  </si>
  <si>
    <r>
      <t>4.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</si>
  <si>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Метрология</t>
  </si>
  <si>
    <t>Pantum 6552</t>
  </si>
  <si>
    <t>2 этаж</t>
  </si>
  <si>
    <r>
      <t>5.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</si>
  <si>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Юрист</t>
  </si>
  <si>
    <t>Brother 1202</t>
  </si>
  <si>
    <t>TN-1095</t>
  </si>
  <si>
    <r>
      <t>6.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</si>
  <si>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Договорной отдел</t>
  </si>
  <si>
    <r>
      <t>7.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</si>
  <si>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Pantum 6500</t>
  </si>
  <si>
    <r>
      <t>8.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</si>
  <si>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Охрана труда</t>
  </si>
  <si>
    <t>HP1020</t>
  </si>
  <si>
    <t>12A</t>
  </si>
  <si>
    <r>
      <t>9.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2"/>
        <color theme="1"/>
        <rFont val="Calibri"/>
        <family val="2"/>
        <charset val="204"/>
        <scheme val="minor"/>
      </rPr>
      <t> </t>
    </r>
  </si>
  <si>
    <t>Pantum 2000</t>
  </si>
  <si>
    <r>
      <t>10.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</si>
  <si>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ФЭО</t>
  </si>
  <si>
    <t>Pantum 6550</t>
  </si>
  <si>
    <r>
      <t>11.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</si>
  <si>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12.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</si>
  <si>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13.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</si>
  <si>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KYOCERA 2235</t>
  </si>
  <si>
    <t>TK-1150</t>
  </si>
  <si>
    <r>
      <t>14.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</si>
  <si>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Склад</t>
  </si>
  <si>
    <t>3 этаж</t>
  </si>
  <si>
    <r>
      <t>15.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</si>
  <si>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Директор по экономике</t>
  </si>
  <si>
    <r>
      <t>16.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</si>
  <si>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Приемная</t>
  </si>
  <si>
    <t>KYOCERA 2135</t>
  </si>
  <si>
    <t>TK-1200</t>
  </si>
  <si>
    <r>
      <t>17.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</si>
  <si>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Технический директор</t>
  </si>
  <si>
    <t>HP MFP175</t>
  </si>
  <si>
    <t>CSP-W1106</t>
  </si>
  <si>
    <r>
      <t>18.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</si>
  <si>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Генеральный директор</t>
  </si>
  <si>
    <t>HP132</t>
  </si>
  <si>
    <t>19A,</t>
  </si>
  <si>
    <t>18A</t>
  </si>
  <si>
    <t>4 этаж</t>
  </si>
  <si>
    <r>
      <t>19.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</si>
  <si>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20.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</si>
  <si>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Военпреды</t>
  </si>
  <si>
    <t>Brother</t>
  </si>
  <si>
    <t>TN-1075</t>
  </si>
  <si>
    <r>
      <t>21.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</si>
  <si>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Нач. отдела по перспективным разработкам</t>
  </si>
  <si>
    <t>Canon 3228</t>
  </si>
  <si>
    <t>EP-27</t>
  </si>
  <si>
    <r>
      <t>22.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</si>
  <si>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Канцелярия</t>
  </si>
  <si>
    <t>KYOCERA 2040</t>
  </si>
  <si>
    <t>5 этаж</t>
  </si>
  <si>
    <r>
      <t>23.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</si>
  <si>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ОВТ и ПО</t>
  </si>
  <si>
    <t>OKI 5450</t>
  </si>
  <si>
    <t>5200-Y</t>
  </si>
  <si>
    <t>5200-K</t>
  </si>
  <si>
    <t>5200-M</t>
  </si>
  <si>
    <t>5400-C</t>
  </si>
  <si>
    <r>
      <t>24.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</si>
  <si>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HP 179</t>
  </si>
  <si>
    <t xml:space="preserve">Y, K, M, C </t>
  </si>
  <si>
    <r>
      <t>25.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</si>
  <si>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Нач. оптического цеха</t>
  </si>
  <si>
    <r>
      <t>26.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</si>
  <si>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Нач. отдела</t>
  </si>
  <si>
    <t>12А</t>
  </si>
  <si>
    <r>
      <t>27.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</si>
  <si>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Диспетчер</t>
  </si>
  <si>
    <r>
      <t>28.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</si>
  <si>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Ст. диспетчер</t>
  </si>
  <si>
    <t>6 этаж</t>
  </si>
  <si>
    <r>
      <t>29.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</si>
  <si>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ОТИЗ</t>
  </si>
  <si>
    <r>
      <t>30.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</si>
  <si>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БКК</t>
  </si>
  <si>
    <r>
      <t>31.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</si>
  <si>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Нач. отдела КК</t>
  </si>
  <si>
    <r>
      <t>32.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</si>
  <si>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Бухгалтерия</t>
  </si>
  <si>
    <r>
      <t>33.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</si>
  <si>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34.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</si>
  <si>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35.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</si>
  <si>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36.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</si>
  <si>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KYOCERA 2035</t>
  </si>
  <si>
    <t>7 этаж</t>
  </si>
  <si>
    <r>
      <t>37.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</si>
  <si>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Гл. оптик</t>
  </si>
  <si>
    <r>
      <t>38.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</si>
  <si>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К-Т О</t>
  </si>
  <si>
    <t>HP5000</t>
  </si>
  <si>
    <t>29x</t>
  </si>
  <si>
    <r>
      <t>39.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</si>
  <si>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KYOCERA 1025</t>
  </si>
  <si>
    <r>
      <t>40.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</si>
  <si>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Нач. сборочного цеха</t>
  </si>
  <si>
    <t>KYOCERA 1020</t>
  </si>
  <si>
    <r>
      <t>41.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</si>
  <si>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r>
      <t>42.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</si>
  <si>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Диспетчер (склад)</t>
  </si>
  <si>
    <t>8 этаж</t>
  </si>
  <si>
    <t>БТД</t>
  </si>
  <si>
    <t>KYOCERA 181</t>
  </si>
  <si>
    <r>
      <t>44.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</si>
  <si>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Инженер-нормировщик</t>
  </si>
  <si>
    <r>
      <t>45.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</si>
  <si>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Зам. ген. директора по подготовке кадров</t>
  </si>
  <si>
    <t>XEROX 3020</t>
  </si>
  <si>
    <t>106R02773</t>
  </si>
  <si>
    <t>РАСХОДНЫЕ МАТЕРИАЛЫ</t>
  </si>
  <si>
    <t>Картриджи, не выделенные жирным, имеют ресурс в 3 заправки. Тонер покупается 1 раз в квартал по 1 кг. каждой позиции.</t>
  </si>
  <si>
    <t>Тонер Brother</t>
  </si>
  <si>
    <t>Тонер SAMSUNG</t>
  </si>
  <si>
    <t>Тонер HP</t>
  </si>
  <si>
    <t xml:space="preserve">Модель картриджа </t>
  </si>
  <si>
    <t>Расход             в месяц, шт.</t>
  </si>
  <si>
    <t>ГРАФИК РАСХОДА КАРТРИДЖЕЙ И ТОНЕРОВ</t>
  </si>
  <si>
    <t>на 2025 год</t>
  </si>
  <si>
    <t>Сумма</t>
  </si>
  <si>
    <t>Кол-во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</si>
  <si>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</si>
  <si>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</si>
  <si>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</si>
  <si>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</si>
  <si>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</si>
  <si>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</si>
  <si>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</si>
  <si>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</si>
  <si>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</si>
  <si>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</si>
  <si>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</si>
  <si>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</si>
  <si>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 ЗА ГОД</t>
  </si>
  <si>
    <t>Тонер KYOCERA (A) 20хх</t>
  </si>
  <si>
    <t>Тонер KYOCERA (B) 10хх</t>
  </si>
  <si>
    <t>Новый KYOCERA 2040</t>
  </si>
  <si>
    <t>1 - 1711</t>
  </si>
  <si>
    <t>1-TK1200</t>
  </si>
  <si>
    <t>Pantum</t>
  </si>
  <si>
    <t>TK-1178</t>
  </si>
  <si>
    <t>1+1 (брак?)</t>
  </si>
  <si>
    <t>Pantum 6550NW NEW (02.2026</t>
  </si>
  <si>
    <r>
      <t>46.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2"/>
        <color theme="1"/>
        <rFont val="Calibri"/>
        <family val="2"/>
        <charset val="204"/>
        <scheme val="minor"/>
      </rPr>
      <t> </t>
    </r>
  </si>
  <si>
    <t>Инженер-технолог</t>
  </si>
  <si>
    <t>NT-1000</t>
  </si>
  <si>
    <t>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</si>
</sst>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Protection="1">
      <protection hidden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E69E-FEB3-47FC-A6BB-6965B7E02F6F}">
  <dimension ref="A1:AF73"/>
  <sheetViews>
    <sheetView tabSelected="1" zoomScale="95" zoomScaleNormal="95" workbookViewId="0">
      <pane xSplit="6" ySplit="9" topLeftCell="G42" activePane="bottomRight" state="frozen"/>
      <selection pane="topRight" activeCell="G1" sqref="G1"/>
      <selection pane="bottomLeft" activeCell="A10" sqref="A10"/>
      <selection pane="bottomRight" activeCell="C48" sqref="C48"/>
    </sheetView>
  </sheetViews>
  <sheetFormatPr defaultRowHeight="15" x14ac:dyDescent="0.25"/>
  <cols>
    <col min="1" max="1" width="4.7109375" customWidth="1"/>
    <col min="2" max="2" width="28.28515625" customWidth="1"/>
    <col min="3" max="3" width="17.5703125" customWidth="1"/>
    <col min="4" max="4" width="16" customWidth="1"/>
    <col min="6" max="6" width="16.5703125" customWidth="1"/>
  </cols>
  <sheetData>
    <row r="1" spans="1:32" ht="18.75" x14ac:dyDescent="0.3">
      <c r="A1" s="12" t="s">
        <v>138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8.75" x14ac:dyDescent="0.3">
      <c r="A2" s="12" t="s">
        <v>139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7" spans="1:32" ht="30.75" customHeight="1" x14ac:dyDescent="0.25">
      <c r="A7" s="14" t="s">
        <v>0</v>
      </c>
      <c r="B7" s="14" t="s">
        <v>1</v>
      </c>
      <c r="C7" s="14" t="s">
        <v>2</v>
      </c>
      <c r="D7" s="14" t="s">
        <v>136</v>
      </c>
      <c r="E7" s="14" t="s">
        <v>137</v>
      </c>
      <c r="F7" s="14" t="s">
        <v>3</v>
      </c>
      <c r="G7" s="14" t="s">
        <v>142</v>
      </c>
      <c r="H7" s="14"/>
      <c r="I7" s="13" t="s">
        <v>143</v>
      </c>
      <c r="J7" s="13"/>
      <c r="K7" s="13" t="s">
        <v>144</v>
      </c>
      <c r="L7" s="13"/>
      <c r="M7" s="13" t="s">
        <v>145</v>
      </c>
      <c r="N7" s="13"/>
      <c r="O7" s="13" t="s">
        <v>146</v>
      </c>
      <c r="P7" s="13"/>
      <c r="Q7" s="13" t="s">
        <v>147</v>
      </c>
      <c r="R7" s="13"/>
      <c r="S7" s="13" t="s">
        <v>148</v>
      </c>
      <c r="T7" s="13"/>
      <c r="U7" s="13" t="s">
        <v>149</v>
      </c>
      <c r="V7" s="13"/>
      <c r="W7" s="13" t="s">
        <v>150</v>
      </c>
      <c r="X7" s="13"/>
      <c r="Y7" s="13" t="s">
        <v>151</v>
      </c>
      <c r="Z7" s="13"/>
      <c r="AA7" s="13" t="s">
        <v>152</v>
      </c>
      <c r="AB7" s="13"/>
      <c r="AC7" s="13" t="s">
        <v>153</v>
      </c>
      <c r="AD7" s="13"/>
      <c r="AE7" s="13" t="s">
        <v>154</v>
      </c>
      <c r="AF7" s="13"/>
    </row>
    <row r="8" spans="1:32" ht="31.5" customHeight="1" x14ac:dyDescent="0.25">
      <c r="A8" s="14"/>
      <c r="B8" s="14"/>
      <c r="C8" s="14"/>
      <c r="D8" s="14"/>
      <c r="E8" s="14"/>
      <c r="F8" s="14"/>
      <c r="G8" s="5" t="s">
        <v>141</v>
      </c>
      <c r="H8" s="6" t="s">
        <v>140</v>
      </c>
      <c r="I8" s="6" t="s">
        <v>141</v>
      </c>
      <c r="J8" s="6" t="s">
        <v>140</v>
      </c>
      <c r="K8" s="6" t="s">
        <v>141</v>
      </c>
      <c r="L8" s="6" t="s">
        <v>140</v>
      </c>
      <c r="M8" s="6" t="s">
        <v>141</v>
      </c>
      <c r="N8" s="6" t="s">
        <v>140</v>
      </c>
      <c r="O8" s="6" t="s">
        <v>141</v>
      </c>
      <c r="P8" s="6" t="s">
        <v>140</v>
      </c>
      <c r="Q8" s="6" t="s">
        <v>141</v>
      </c>
      <c r="R8" s="6" t="s">
        <v>140</v>
      </c>
      <c r="S8" s="6" t="s">
        <v>141</v>
      </c>
      <c r="T8" s="6" t="s">
        <v>140</v>
      </c>
      <c r="U8" s="6" t="s">
        <v>141</v>
      </c>
      <c r="V8" s="6" t="s">
        <v>140</v>
      </c>
      <c r="W8" s="6" t="s">
        <v>141</v>
      </c>
      <c r="X8" s="6" t="s">
        <v>140</v>
      </c>
      <c r="Y8" s="6" t="s">
        <v>141</v>
      </c>
      <c r="Z8" s="6" t="s">
        <v>140</v>
      </c>
      <c r="AA8" s="6" t="s">
        <v>141</v>
      </c>
      <c r="AB8" s="6" t="s">
        <v>140</v>
      </c>
      <c r="AC8" s="6" t="s">
        <v>141</v>
      </c>
      <c r="AD8" s="6" t="s">
        <v>140</v>
      </c>
      <c r="AE8" s="6" t="s">
        <v>141</v>
      </c>
      <c r="AF8" s="6" t="s">
        <v>140</v>
      </c>
    </row>
    <row r="9" spans="1:32" ht="15.75" customHeight="1" x14ac:dyDescent="0.25">
      <c r="A9" s="11" t="s">
        <v>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31.5" x14ac:dyDescent="0.25">
      <c r="A10" s="7" t="s">
        <v>5</v>
      </c>
      <c r="B10" s="7" t="s">
        <v>6</v>
      </c>
      <c r="C10" s="7" t="s">
        <v>7</v>
      </c>
      <c r="D10" s="7" t="s">
        <v>8</v>
      </c>
      <c r="E10" s="7">
        <v>1</v>
      </c>
      <c r="F10" s="7">
        <v>450</v>
      </c>
      <c r="G10" s="2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">
        <f>G10+I10+K10+M10+O10+Q10+S10+U10+W10+Y10+AA10+AC10</f>
        <v>1</v>
      </c>
      <c r="AF10" s="1">
        <f>H10+J10+L10+N10+P10+R10+T10+V10+X10+Z10+AB10+AD10</f>
        <v>0</v>
      </c>
    </row>
    <row r="11" spans="1:32" ht="31.5" x14ac:dyDescent="0.25">
      <c r="A11" s="7" t="s">
        <v>9</v>
      </c>
      <c r="B11" s="7" t="s">
        <v>6</v>
      </c>
      <c r="C11" s="7" t="s">
        <v>10</v>
      </c>
      <c r="D11" s="8" t="s">
        <v>11</v>
      </c>
      <c r="E11" s="7">
        <v>0.3</v>
      </c>
      <c r="F11" s="7">
        <v>1000</v>
      </c>
      <c r="G11" s="2"/>
      <c r="H11" s="3"/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1">
        <f t="shared" ref="AE11:AE13" si="0">G11+I11+K11+M11+O11+Q11+S11+U11+W11+Y11+AA11+AC11</f>
        <v>1</v>
      </c>
      <c r="AF11" s="1">
        <f t="shared" ref="AF11:AF13" si="1">H11+J11+L11+N11+P11+R11+T11+V11+X11+Z11+AB11+AD11</f>
        <v>0</v>
      </c>
    </row>
    <row r="12" spans="1:32" ht="31.5" x14ac:dyDescent="0.25">
      <c r="A12" s="7" t="s">
        <v>12</v>
      </c>
      <c r="B12" s="7" t="s">
        <v>13</v>
      </c>
      <c r="C12" s="7" t="s">
        <v>14</v>
      </c>
      <c r="D12" s="8" t="s">
        <v>15</v>
      </c>
      <c r="E12" s="7">
        <v>0.3</v>
      </c>
      <c r="F12" s="7">
        <v>900</v>
      </c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1">
        <f t="shared" si="0"/>
        <v>0</v>
      </c>
      <c r="AF12" s="1">
        <f t="shared" si="1"/>
        <v>0</v>
      </c>
    </row>
    <row r="13" spans="1:32" ht="31.5" x14ac:dyDescent="0.25">
      <c r="A13" s="7" t="s">
        <v>16</v>
      </c>
      <c r="B13" s="7" t="s">
        <v>17</v>
      </c>
      <c r="C13" s="7" t="s">
        <v>163</v>
      </c>
      <c r="D13" s="7">
        <v>211</v>
      </c>
      <c r="E13" s="7">
        <v>0.3</v>
      </c>
      <c r="F13" s="7">
        <v>900</v>
      </c>
      <c r="G13" s="2"/>
      <c r="H13" s="3"/>
      <c r="I13" s="3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1">
        <f t="shared" si="0"/>
        <v>1</v>
      </c>
      <c r="AF13" s="1">
        <f t="shared" si="1"/>
        <v>0</v>
      </c>
    </row>
    <row r="14" spans="1:32" ht="15.75" customHeight="1" x14ac:dyDescent="0.25">
      <c r="A14" s="11" t="s">
        <v>19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31.5" x14ac:dyDescent="0.25">
      <c r="A15" s="7" t="s">
        <v>20</v>
      </c>
      <c r="B15" s="7" t="s">
        <v>21</v>
      </c>
      <c r="C15" s="7" t="s">
        <v>22</v>
      </c>
      <c r="D15" s="8" t="s">
        <v>23</v>
      </c>
      <c r="E15" s="7">
        <v>0.5</v>
      </c>
      <c r="F15" s="7">
        <v>450</v>
      </c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">
        <f>G15+I15+K15+M15+O15+Q15+S15+U15+W15+Y15+AA15+AC15</f>
        <v>0</v>
      </c>
      <c r="AF15" s="1">
        <f>H15+J15+L15+N15+P15+R15+T15+V15+X15+Z15+AB15+AD15</f>
        <v>0</v>
      </c>
    </row>
    <row r="16" spans="1:32" ht="31.5" x14ac:dyDescent="0.25">
      <c r="A16" s="7"/>
      <c r="B16" s="7" t="s">
        <v>25</v>
      </c>
      <c r="C16" s="7" t="s">
        <v>157</v>
      </c>
      <c r="D16" s="8" t="s">
        <v>161</v>
      </c>
      <c r="E16" s="7">
        <v>0.5</v>
      </c>
      <c r="F16" s="7">
        <v>800</v>
      </c>
      <c r="G16" s="2"/>
      <c r="H16" s="3"/>
      <c r="I16" s="3"/>
      <c r="J16" s="3"/>
      <c r="K16" s="3">
        <v>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1</v>
      </c>
      <c r="AD16" s="3"/>
      <c r="AE16" s="1"/>
      <c r="AF16" s="1"/>
    </row>
    <row r="17" spans="1:32" ht="31.5" x14ac:dyDescent="0.25">
      <c r="A17" s="7" t="s">
        <v>24</v>
      </c>
      <c r="B17" s="7" t="s">
        <v>25</v>
      </c>
      <c r="C17" s="7" t="s">
        <v>18</v>
      </c>
      <c r="D17" s="7">
        <v>212</v>
      </c>
      <c r="E17" s="7">
        <v>2</v>
      </c>
      <c r="F17" s="7">
        <v>900</v>
      </c>
      <c r="G17" s="2"/>
      <c r="H17" s="3"/>
      <c r="I17" s="3">
        <v>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1">
        <f t="shared" ref="AE17:AE20" si="2">G17+I17+K17+M17+O17+Q17+S17+U17+W17+Y17+AA17+AC17</f>
        <v>2</v>
      </c>
      <c r="AF17" s="1">
        <f t="shared" ref="AF17:AF20" si="3">H17+J17+L17+N17+P17+R17+T17+V17+X17+Z17+AB17+AD17</f>
        <v>0</v>
      </c>
    </row>
    <row r="18" spans="1:32" ht="31.5" x14ac:dyDescent="0.25">
      <c r="A18" s="7" t="s">
        <v>26</v>
      </c>
      <c r="B18" s="7" t="s">
        <v>25</v>
      </c>
      <c r="C18" s="7" t="s">
        <v>27</v>
      </c>
      <c r="D18" s="7">
        <v>212</v>
      </c>
      <c r="E18" s="7">
        <v>0.5</v>
      </c>
      <c r="F18" s="7">
        <v>900</v>
      </c>
      <c r="G18" s="2"/>
      <c r="H18" s="3"/>
      <c r="I18" s="3"/>
      <c r="J18" s="3"/>
      <c r="K18" s="3">
        <v>1</v>
      </c>
      <c r="L18" s="3"/>
      <c r="M18" s="3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1">
        <f t="shared" si="2"/>
        <v>2</v>
      </c>
      <c r="AF18" s="1">
        <f t="shared" si="3"/>
        <v>0</v>
      </c>
    </row>
    <row r="19" spans="1:32" ht="31.5" x14ac:dyDescent="0.25">
      <c r="A19" s="7" t="s">
        <v>28</v>
      </c>
      <c r="B19" s="7" t="s">
        <v>29</v>
      </c>
      <c r="C19" s="7" t="s">
        <v>30</v>
      </c>
      <c r="D19" s="7" t="s">
        <v>31</v>
      </c>
      <c r="E19" s="7">
        <v>0.3</v>
      </c>
      <c r="F19" s="7">
        <v>500</v>
      </c>
      <c r="G19" s="2"/>
      <c r="H19" s="3"/>
      <c r="I19" s="3"/>
      <c r="J19" s="3"/>
      <c r="K19" s="3"/>
      <c r="L19" s="3"/>
      <c r="M19" s="3">
        <v>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1">
        <f t="shared" si="2"/>
        <v>1</v>
      </c>
      <c r="AF19" s="1">
        <f t="shared" si="3"/>
        <v>0</v>
      </c>
    </row>
    <row r="20" spans="1:32" ht="31.5" x14ac:dyDescent="0.25">
      <c r="A20" s="7" t="s">
        <v>32</v>
      </c>
      <c r="B20" s="7" t="s">
        <v>29</v>
      </c>
      <c r="C20" s="7" t="s">
        <v>33</v>
      </c>
      <c r="D20" s="7">
        <v>211</v>
      </c>
      <c r="E20" s="7">
        <v>0.3</v>
      </c>
      <c r="F20" s="7">
        <v>900</v>
      </c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">
        <f t="shared" si="2"/>
        <v>0</v>
      </c>
      <c r="AF20" s="1">
        <f t="shared" si="3"/>
        <v>0</v>
      </c>
    </row>
    <row r="21" spans="1:32" ht="31.5" x14ac:dyDescent="0.25">
      <c r="A21" s="7" t="s">
        <v>34</v>
      </c>
      <c r="B21" s="7" t="s">
        <v>35</v>
      </c>
      <c r="C21" s="7" t="s">
        <v>36</v>
      </c>
      <c r="D21" s="7">
        <v>211</v>
      </c>
      <c r="E21" s="7">
        <v>0.5</v>
      </c>
      <c r="F21" s="7">
        <v>900</v>
      </c>
      <c r="G21" s="2"/>
      <c r="H21" s="3"/>
      <c r="I21" s="3">
        <v>1</v>
      </c>
      <c r="J21" s="3"/>
      <c r="K21" s="3"/>
      <c r="L21" s="3"/>
      <c r="M21" s="3">
        <v>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1">
        <f t="shared" ref="AE21:AE25" si="4">G21+I21+K21+M21+O21+Q21+S21+U21+W21+Y21+AA21+AC21</f>
        <v>2</v>
      </c>
      <c r="AF21" s="1">
        <f t="shared" ref="AF21:AF25" si="5">H21+J21+L21+N21+P21+R21+T21+V21+X21+Z21+AB21+AD21</f>
        <v>0</v>
      </c>
    </row>
    <row r="22" spans="1:32" ht="31.5" x14ac:dyDescent="0.25">
      <c r="A22" s="7" t="s">
        <v>37</v>
      </c>
      <c r="B22" s="7" t="s">
        <v>35</v>
      </c>
      <c r="C22" s="7" t="s">
        <v>30</v>
      </c>
      <c r="D22" s="7" t="s">
        <v>31</v>
      </c>
      <c r="E22" s="7">
        <v>0.2</v>
      </c>
      <c r="F22" s="7">
        <v>500</v>
      </c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1">
        <f t="shared" si="4"/>
        <v>0</v>
      </c>
      <c r="AF22" s="1">
        <f t="shared" si="5"/>
        <v>0</v>
      </c>
    </row>
    <row r="23" spans="1:32" ht="31.5" x14ac:dyDescent="0.25">
      <c r="A23" s="7" t="s">
        <v>38</v>
      </c>
      <c r="B23" s="7" t="s">
        <v>35</v>
      </c>
      <c r="C23" s="7" t="s">
        <v>30</v>
      </c>
      <c r="D23" s="7" t="s">
        <v>31</v>
      </c>
      <c r="E23" s="7">
        <v>0.5</v>
      </c>
      <c r="F23" s="7">
        <v>500</v>
      </c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1">
        <f t="shared" si="4"/>
        <v>0</v>
      </c>
      <c r="AF23" s="1">
        <f t="shared" si="5"/>
        <v>0</v>
      </c>
    </row>
    <row r="24" spans="1:32" ht="31.5" x14ac:dyDescent="0.25">
      <c r="A24" s="7" t="s">
        <v>39</v>
      </c>
      <c r="B24" s="7" t="s">
        <v>35</v>
      </c>
      <c r="C24" s="7" t="s">
        <v>40</v>
      </c>
      <c r="D24" s="7" t="s">
        <v>41</v>
      </c>
      <c r="E24" s="7">
        <v>1</v>
      </c>
      <c r="F24" s="7">
        <v>600</v>
      </c>
      <c r="G24" s="2"/>
      <c r="H24" s="3"/>
      <c r="I24" s="3">
        <v>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1">
        <f t="shared" si="4"/>
        <v>1</v>
      </c>
      <c r="AF24" s="1">
        <f t="shared" si="5"/>
        <v>0</v>
      </c>
    </row>
    <row r="25" spans="1:32" ht="31.5" x14ac:dyDescent="0.25">
      <c r="A25" s="7" t="s">
        <v>42</v>
      </c>
      <c r="B25" s="7" t="s">
        <v>43</v>
      </c>
      <c r="C25" s="7" t="s">
        <v>160</v>
      </c>
      <c r="D25" s="7">
        <v>212</v>
      </c>
      <c r="E25" s="7">
        <v>1</v>
      </c>
      <c r="F25" s="7">
        <v>900</v>
      </c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>
        <v>1</v>
      </c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1">
        <f t="shared" si="4"/>
        <v>2</v>
      </c>
      <c r="AF25" s="1">
        <f t="shared" si="5"/>
        <v>0</v>
      </c>
    </row>
    <row r="26" spans="1:32" ht="15.75" customHeight="1" x14ac:dyDescent="0.25">
      <c r="A26" s="11" t="s">
        <v>44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31.5" x14ac:dyDescent="0.25">
      <c r="A27" s="7" t="s">
        <v>45</v>
      </c>
      <c r="B27" s="7" t="s">
        <v>46</v>
      </c>
      <c r="C27" s="7" t="s">
        <v>18</v>
      </c>
      <c r="D27" s="7">
        <v>212</v>
      </c>
      <c r="E27" s="7">
        <v>0.3</v>
      </c>
      <c r="F27" s="7">
        <v>900</v>
      </c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1">
        <f>G27+I27+K27+M27+O27+Q27+S27+U27+W27+Y27+AA27+AC27</f>
        <v>0</v>
      </c>
      <c r="AF27" s="1">
        <f>H27+J27+L27+N27+P27+R27+T27+V27+X27+Z27+AB27+AD27</f>
        <v>0</v>
      </c>
    </row>
    <row r="28" spans="1:32" ht="31.5" x14ac:dyDescent="0.25">
      <c r="A28" s="7" t="s">
        <v>47</v>
      </c>
      <c r="B28" s="7" t="s">
        <v>48</v>
      </c>
      <c r="C28" s="7" t="s">
        <v>49</v>
      </c>
      <c r="D28" s="7" t="s">
        <v>50</v>
      </c>
      <c r="E28" s="7">
        <v>1</v>
      </c>
      <c r="F28" s="7">
        <v>600</v>
      </c>
      <c r="G28" s="2"/>
      <c r="H28" s="3"/>
      <c r="I28" s="3">
        <v>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1">
        <f t="shared" ref="AE28:AE31" si="6">G28+I28+K28+M28+O28+Q28+S28+U28+W28+Y28+AA28+AC28</f>
        <v>1</v>
      </c>
      <c r="AF28" s="1">
        <f t="shared" ref="AF28:AF31" si="7">H28+J28+L28+N28+P28+R28+T28+V28+X28+Z28+AB28+AD28</f>
        <v>0</v>
      </c>
    </row>
    <row r="29" spans="1:32" ht="31.5" x14ac:dyDescent="0.25">
      <c r="A29" s="7" t="s">
        <v>51</v>
      </c>
      <c r="B29" s="7" t="s">
        <v>52</v>
      </c>
      <c r="C29" s="7" t="s">
        <v>53</v>
      </c>
      <c r="D29" s="8" t="s">
        <v>54</v>
      </c>
      <c r="E29" s="7">
        <v>0.2</v>
      </c>
      <c r="F29" s="7">
        <v>800</v>
      </c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1">
        <f t="shared" si="6"/>
        <v>0</v>
      </c>
      <c r="AF29" s="1">
        <f t="shared" si="7"/>
        <v>0</v>
      </c>
    </row>
    <row r="30" spans="1:32" ht="46.5" customHeight="1" x14ac:dyDescent="0.25">
      <c r="A30" s="15" t="s">
        <v>55</v>
      </c>
      <c r="B30" s="15" t="s">
        <v>56</v>
      </c>
      <c r="C30" s="15" t="s">
        <v>57</v>
      </c>
      <c r="D30" s="8" t="s">
        <v>58</v>
      </c>
      <c r="E30" s="15">
        <v>0.2</v>
      </c>
      <c r="F30" s="15">
        <v>1000</v>
      </c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1">
        <f t="shared" si="6"/>
        <v>0</v>
      </c>
      <c r="AF30" s="1">
        <f t="shared" si="7"/>
        <v>0</v>
      </c>
    </row>
    <row r="31" spans="1:32" ht="15.75" x14ac:dyDescent="0.25">
      <c r="A31" s="15"/>
      <c r="B31" s="15"/>
      <c r="C31" s="15"/>
      <c r="D31" s="8" t="s">
        <v>59</v>
      </c>
      <c r="E31" s="15"/>
      <c r="F31" s="15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1">
        <f t="shared" si="6"/>
        <v>0</v>
      </c>
      <c r="AF31" s="1">
        <f t="shared" si="7"/>
        <v>0</v>
      </c>
    </row>
    <row r="32" spans="1:32" ht="15.75" customHeight="1" x14ac:dyDescent="0.25">
      <c r="A32" s="11" t="s">
        <v>60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31.5" x14ac:dyDescent="0.25">
      <c r="A33" s="7" t="s">
        <v>61</v>
      </c>
      <c r="B33" s="7" t="s">
        <v>21</v>
      </c>
      <c r="C33" s="7" t="s">
        <v>30</v>
      </c>
      <c r="D33" s="7" t="s">
        <v>31</v>
      </c>
      <c r="E33" s="7">
        <v>0.3</v>
      </c>
      <c r="F33" s="7">
        <v>500</v>
      </c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1">
        <f>G33+I33+K33+M33+O33+Q33+S33+U33+W33+Y33+AA33+AC33</f>
        <v>0</v>
      </c>
      <c r="AF33" s="1">
        <f>H33+J33+L33+N33+P33+R33+T33+V33+X33+Z33+AB33+AD33</f>
        <v>0</v>
      </c>
    </row>
    <row r="34" spans="1:32" ht="31.5" x14ac:dyDescent="0.25">
      <c r="A34" s="7" t="s">
        <v>62</v>
      </c>
      <c r="B34" s="7" t="s">
        <v>63</v>
      </c>
      <c r="C34" s="7" t="s">
        <v>64</v>
      </c>
      <c r="D34" s="8" t="s">
        <v>65</v>
      </c>
      <c r="E34" s="7">
        <v>0.2</v>
      </c>
      <c r="F34" s="7">
        <v>600</v>
      </c>
      <c r="G34" s="2"/>
      <c r="H34" s="3"/>
      <c r="I34" s="3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1">
        <f t="shared" ref="AE34:AE36" si="8">G34+I34+K34+M34+O34+Q34+S34+U34+W34+Y34+AA34+AC34</f>
        <v>1</v>
      </c>
      <c r="AF34" s="1">
        <f t="shared" ref="AF34:AF36" si="9">H34+J34+L34+N34+P34+R34+T34+V34+X34+Z34+AB34+AD34</f>
        <v>0</v>
      </c>
    </row>
    <row r="35" spans="1:32" ht="47.25" x14ac:dyDescent="0.25">
      <c r="A35" s="7" t="s">
        <v>66</v>
      </c>
      <c r="B35" s="7" t="s">
        <v>67</v>
      </c>
      <c r="C35" s="7" t="s">
        <v>68</v>
      </c>
      <c r="D35" s="7" t="s">
        <v>69</v>
      </c>
      <c r="E35" s="7">
        <v>0.2</v>
      </c>
      <c r="F35" s="7">
        <v>800</v>
      </c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1">
        <f t="shared" si="8"/>
        <v>0</v>
      </c>
      <c r="AF35" s="1">
        <f t="shared" si="9"/>
        <v>0</v>
      </c>
    </row>
    <row r="36" spans="1:32" ht="31.5" x14ac:dyDescent="0.25">
      <c r="A36" s="7" t="s">
        <v>70</v>
      </c>
      <c r="B36" s="7" t="s">
        <v>71</v>
      </c>
      <c r="C36" s="7" t="s">
        <v>72</v>
      </c>
      <c r="D36" s="7" t="s">
        <v>50</v>
      </c>
      <c r="E36" s="7">
        <v>0.5</v>
      </c>
      <c r="F36" s="7">
        <v>600</v>
      </c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2</v>
      </c>
      <c r="AD36" s="3"/>
      <c r="AE36" s="1">
        <f t="shared" si="8"/>
        <v>2</v>
      </c>
      <c r="AF36" s="1">
        <f t="shared" si="9"/>
        <v>0</v>
      </c>
    </row>
    <row r="37" spans="1:32" ht="15.75" customHeight="1" x14ac:dyDescent="0.25">
      <c r="A37" s="11" t="s">
        <v>73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x14ac:dyDescent="0.25">
      <c r="A38" s="15" t="s">
        <v>74</v>
      </c>
      <c r="B38" s="15" t="s">
        <v>75</v>
      </c>
      <c r="C38" s="15" t="s">
        <v>76</v>
      </c>
      <c r="D38" s="8" t="s">
        <v>77</v>
      </c>
      <c r="E38" s="15">
        <v>0.2</v>
      </c>
      <c r="F38" s="15">
        <v>2500</v>
      </c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1">
        <f>G38+I38+K38+M38+O38+Q38+S38+U38+W38+Y38+AA38+AC38</f>
        <v>0</v>
      </c>
      <c r="AF38" s="1">
        <f>H38+J38+L38+N38+P38+R38+T38+V38+X38+Z38+AB38+AD38</f>
        <v>0</v>
      </c>
    </row>
    <row r="39" spans="1:32" ht="15.75" x14ac:dyDescent="0.25">
      <c r="A39" s="15"/>
      <c r="B39" s="15"/>
      <c r="C39" s="15"/>
      <c r="D39" s="8" t="s">
        <v>78</v>
      </c>
      <c r="E39" s="15"/>
      <c r="F39" s="15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">
        <f t="shared" ref="AE39:AE46" si="10">G39+I39+K39+M39+O39+Q39+S39+U39+W39+Y39+AA39+AC39</f>
        <v>0</v>
      </c>
      <c r="AF39" s="1">
        <f t="shared" ref="AF39:AF46" si="11">H39+J39+L39+N39+P39+R39+T39+V39+X39+Z39+AB39+AD39</f>
        <v>0</v>
      </c>
    </row>
    <row r="40" spans="1:32" ht="15.75" x14ac:dyDescent="0.25">
      <c r="A40" s="15"/>
      <c r="B40" s="15"/>
      <c r="C40" s="15"/>
      <c r="D40" s="8" t="s">
        <v>79</v>
      </c>
      <c r="E40" s="15"/>
      <c r="F40" s="15"/>
      <c r="G40" s="4"/>
      <c r="H40" s="3"/>
      <c r="I40" s="3"/>
      <c r="J40" s="3"/>
      <c r="K40" s="3"/>
      <c r="L40" s="3"/>
      <c r="M40" s="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1">
        <f>G40+I40+K40+M42+O40+Q40+S40+U40+W40+Y40+AA40+AC40</f>
        <v>1</v>
      </c>
      <c r="AF40" s="1">
        <f t="shared" si="11"/>
        <v>0</v>
      </c>
    </row>
    <row r="41" spans="1:32" ht="15.75" x14ac:dyDescent="0.25">
      <c r="A41" s="15"/>
      <c r="B41" s="15"/>
      <c r="C41" s="15"/>
      <c r="D41" s="8" t="s">
        <v>80</v>
      </c>
      <c r="E41" s="15"/>
      <c r="F41" s="15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1">
        <f t="shared" si="10"/>
        <v>0</v>
      </c>
      <c r="AF41" s="1">
        <f t="shared" si="11"/>
        <v>0</v>
      </c>
    </row>
    <row r="42" spans="1:32" ht="31.5" x14ac:dyDescent="0.25">
      <c r="A42" s="7" t="s">
        <v>81</v>
      </c>
      <c r="B42" s="7" t="s">
        <v>75</v>
      </c>
      <c r="C42" s="7" t="s">
        <v>82</v>
      </c>
      <c r="D42" s="8" t="s">
        <v>83</v>
      </c>
      <c r="E42" s="7">
        <v>0.2</v>
      </c>
      <c r="F42" s="7">
        <v>2500</v>
      </c>
      <c r="G42" s="2"/>
      <c r="H42" s="3"/>
      <c r="I42" s="3"/>
      <c r="J42" s="3"/>
      <c r="K42" s="3"/>
      <c r="L42" s="3"/>
      <c r="M42" s="3">
        <v>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1" t="e">
        <f>G42+I42+K42+#REF!+O42+Q42+S42+U42+W42+Y42+AA42+AC42</f>
        <v>#REF!</v>
      </c>
      <c r="AF42" s="1">
        <f t="shared" si="11"/>
        <v>0</v>
      </c>
    </row>
    <row r="43" spans="1:32" ht="31.5" x14ac:dyDescent="0.25">
      <c r="A43" s="7" t="s">
        <v>84</v>
      </c>
      <c r="B43" s="7" t="s">
        <v>85</v>
      </c>
      <c r="C43" s="7" t="s">
        <v>30</v>
      </c>
      <c r="D43" s="7" t="s">
        <v>31</v>
      </c>
      <c r="E43" s="7">
        <v>0.2</v>
      </c>
      <c r="F43" s="7">
        <v>600</v>
      </c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1">
        <f t="shared" si="10"/>
        <v>0</v>
      </c>
      <c r="AF43" s="1">
        <f t="shared" si="11"/>
        <v>0</v>
      </c>
    </row>
    <row r="44" spans="1:32" ht="31.5" x14ac:dyDescent="0.25">
      <c r="A44" s="7" t="s">
        <v>86</v>
      </c>
      <c r="B44" s="7" t="s">
        <v>87</v>
      </c>
      <c r="C44" s="7" t="s">
        <v>30</v>
      </c>
      <c r="D44" s="7" t="s">
        <v>88</v>
      </c>
      <c r="E44" s="7">
        <v>0.2</v>
      </c>
      <c r="F44" s="7">
        <v>600</v>
      </c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1">
        <f t="shared" si="10"/>
        <v>0</v>
      </c>
      <c r="AF44" s="1">
        <f t="shared" si="11"/>
        <v>0</v>
      </c>
    </row>
    <row r="45" spans="1:32" ht="31.5" x14ac:dyDescent="0.25">
      <c r="A45" s="7" t="s">
        <v>89</v>
      </c>
      <c r="B45" s="7" t="s">
        <v>90</v>
      </c>
      <c r="C45" s="7" t="s">
        <v>22</v>
      </c>
      <c r="D45" s="8" t="s">
        <v>23</v>
      </c>
      <c r="E45" s="7">
        <v>0.3</v>
      </c>
      <c r="F45" s="7">
        <v>450</v>
      </c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>
        <v>1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1">
        <f t="shared" si="10"/>
        <v>1</v>
      </c>
      <c r="AF45" s="1">
        <f t="shared" si="11"/>
        <v>0</v>
      </c>
    </row>
    <row r="46" spans="1:32" ht="31.5" x14ac:dyDescent="0.25">
      <c r="A46" s="7" t="s">
        <v>91</v>
      </c>
      <c r="B46" s="7" t="s">
        <v>92</v>
      </c>
      <c r="C46" s="7" t="s">
        <v>30</v>
      </c>
      <c r="D46" s="7" t="s">
        <v>31</v>
      </c>
      <c r="E46" s="7">
        <v>0.3</v>
      </c>
      <c r="F46" s="7">
        <v>600</v>
      </c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1">
        <f t="shared" si="10"/>
        <v>0</v>
      </c>
      <c r="AF46" s="1">
        <f t="shared" si="11"/>
        <v>0</v>
      </c>
    </row>
    <row r="47" spans="1:32" ht="15.75" customHeight="1" x14ac:dyDescent="0.25">
      <c r="A47" s="11" t="s">
        <v>93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31.5" x14ac:dyDescent="0.25">
      <c r="A48" s="7" t="s">
        <v>94</v>
      </c>
      <c r="B48" s="7" t="s">
        <v>95</v>
      </c>
      <c r="C48" s="7" t="s">
        <v>30</v>
      </c>
      <c r="D48" s="7" t="s">
        <v>31</v>
      </c>
      <c r="E48" s="7">
        <v>0.5</v>
      </c>
      <c r="F48" s="7">
        <v>600</v>
      </c>
      <c r="G48" s="2"/>
      <c r="H48" s="3"/>
      <c r="I48" s="3">
        <v>1</v>
      </c>
      <c r="J48" s="3"/>
      <c r="K48" s="3"/>
      <c r="L48" s="3"/>
      <c r="M48" s="9"/>
      <c r="N48" s="3"/>
      <c r="O48" s="3"/>
      <c r="P48" s="3"/>
      <c r="Q48" s="3"/>
      <c r="R48" s="3"/>
      <c r="S48" s="3">
        <v>1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1">
        <f>G48+I48+K48+M53+O48+Q48+S48+U48+W48+Y48+AA48+AC48</f>
        <v>3</v>
      </c>
      <c r="AF48" s="1">
        <f>H48+J48+L48+N48+P48+R48+T48+V48+X48+Z48+AB48+AD48</f>
        <v>0</v>
      </c>
    </row>
    <row r="49" spans="1:32" ht="31.5" x14ac:dyDescent="0.25">
      <c r="A49" s="7" t="s">
        <v>96</v>
      </c>
      <c r="B49" s="7" t="s">
        <v>97</v>
      </c>
      <c r="C49" s="7" t="s">
        <v>68</v>
      </c>
      <c r="D49" s="7" t="s">
        <v>69</v>
      </c>
      <c r="E49" s="7">
        <v>0.2</v>
      </c>
      <c r="F49" s="7">
        <v>800</v>
      </c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2</v>
      </c>
      <c r="AD49" s="3"/>
      <c r="AE49" s="1">
        <f t="shared" ref="AE49:AE55" si="12">G49+I49+K49+M49+O49+Q49+S49+U49+W49+Y49+AA49+AC49</f>
        <v>2</v>
      </c>
      <c r="AF49" s="1">
        <f t="shared" ref="AF49:AF55" si="13">H49+J49+L49+N49+P49+R49+T49+V49+X49+Z49+AB49+AD49</f>
        <v>0</v>
      </c>
    </row>
    <row r="50" spans="1:32" ht="31.5" x14ac:dyDescent="0.25">
      <c r="A50" s="7" t="s">
        <v>98</v>
      </c>
      <c r="B50" s="7" t="s">
        <v>99</v>
      </c>
      <c r="C50" s="7" t="s">
        <v>30</v>
      </c>
      <c r="D50" s="7" t="s">
        <v>31</v>
      </c>
      <c r="E50" s="7">
        <v>0.2</v>
      </c>
      <c r="F50" s="7">
        <v>600</v>
      </c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1">
        <f t="shared" si="12"/>
        <v>0</v>
      </c>
      <c r="AF50" s="1">
        <f t="shared" si="13"/>
        <v>0</v>
      </c>
    </row>
    <row r="51" spans="1:32" ht="31.5" x14ac:dyDescent="0.25">
      <c r="A51" s="7" t="s">
        <v>100</v>
      </c>
      <c r="B51" s="7" t="s">
        <v>101</v>
      </c>
      <c r="C51" s="7" t="s">
        <v>36</v>
      </c>
      <c r="D51" s="7">
        <v>211</v>
      </c>
      <c r="E51" s="7">
        <v>1</v>
      </c>
      <c r="F51" s="7">
        <v>900</v>
      </c>
      <c r="G51" s="2"/>
      <c r="H51" s="3"/>
      <c r="I51" s="3">
        <v>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 t="s">
        <v>158</v>
      </c>
      <c r="AB51" s="3"/>
      <c r="AC51" s="3"/>
      <c r="AD51" s="3"/>
      <c r="AE51" s="1" t="e">
        <f t="shared" si="12"/>
        <v>#VALUE!</v>
      </c>
      <c r="AF51" s="1">
        <f t="shared" si="13"/>
        <v>0</v>
      </c>
    </row>
    <row r="52" spans="1:32" ht="31.5" x14ac:dyDescent="0.25">
      <c r="A52" s="7" t="s">
        <v>102</v>
      </c>
      <c r="B52" s="7" t="s">
        <v>101</v>
      </c>
      <c r="C52" s="7" t="s">
        <v>36</v>
      </c>
      <c r="D52" s="7">
        <v>211</v>
      </c>
      <c r="E52" s="7">
        <v>1</v>
      </c>
      <c r="F52" s="7">
        <v>900</v>
      </c>
      <c r="G52" s="2"/>
      <c r="H52" s="3"/>
      <c r="I52" s="3"/>
      <c r="J52" s="3"/>
      <c r="K52" s="3"/>
      <c r="L52" s="3"/>
      <c r="M52" s="3">
        <v>1</v>
      </c>
      <c r="N52" s="3"/>
      <c r="O52" s="3">
        <v>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 t="s">
        <v>162</v>
      </c>
      <c r="AD52" s="3"/>
      <c r="AE52" s="1" t="e">
        <f t="shared" si="12"/>
        <v>#VALUE!</v>
      </c>
      <c r="AF52" s="1">
        <f t="shared" si="13"/>
        <v>0</v>
      </c>
    </row>
    <row r="53" spans="1:32" ht="31.5" x14ac:dyDescent="0.25">
      <c r="A53" s="7" t="s">
        <v>103</v>
      </c>
      <c r="B53" s="7" t="s">
        <v>101</v>
      </c>
      <c r="C53" s="7" t="s">
        <v>30</v>
      </c>
      <c r="D53" s="7" t="s">
        <v>31</v>
      </c>
      <c r="E53" s="7">
        <v>1</v>
      </c>
      <c r="F53" s="7">
        <v>600</v>
      </c>
      <c r="G53" s="2"/>
      <c r="H53" s="3"/>
      <c r="I53" s="3">
        <v>1</v>
      </c>
      <c r="J53" s="3"/>
      <c r="K53" s="3"/>
      <c r="L53" s="3"/>
      <c r="M53" s="3">
        <v>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1" t="e">
        <f>G53+I53+K53+#REF!+O53+Q53+S53+U53+W53+Y53+AA53+AC53</f>
        <v>#REF!</v>
      </c>
      <c r="AF53" s="1">
        <f t="shared" si="13"/>
        <v>0</v>
      </c>
    </row>
    <row r="54" spans="1:32" ht="31.5" x14ac:dyDescent="0.25">
      <c r="A54" s="7" t="s">
        <v>104</v>
      </c>
      <c r="B54" s="7" t="s">
        <v>101</v>
      </c>
      <c r="C54" s="7" t="s">
        <v>30</v>
      </c>
      <c r="D54" s="7" t="s">
        <v>31</v>
      </c>
      <c r="E54" s="7">
        <v>0.5</v>
      </c>
      <c r="F54" s="7">
        <v>600</v>
      </c>
      <c r="G54" s="2"/>
      <c r="H54" s="3"/>
      <c r="I54" s="3">
        <v>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1">
        <f t="shared" si="12"/>
        <v>1</v>
      </c>
      <c r="AF54" s="1">
        <f t="shared" si="13"/>
        <v>0</v>
      </c>
    </row>
    <row r="55" spans="1:32" ht="31.5" x14ac:dyDescent="0.25">
      <c r="A55" s="7" t="s">
        <v>105</v>
      </c>
      <c r="B55" s="7" t="s">
        <v>101</v>
      </c>
      <c r="C55" s="7" t="s">
        <v>106</v>
      </c>
      <c r="D55" s="7" t="s">
        <v>41</v>
      </c>
      <c r="E55" s="7">
        <v>1</v>
      </c>
      <c r="F55" s="7">
        <v>600</v>
      </c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 t="s">
        <v>159</v>
      </c>
      <c r="AB55" s="3"/>
      <c r="AC55" s="3"/>
      <c r="AD55" s="3"/>
      <c r="AE55" s="1" t="e">
        <f t="shared" si="12"/>
        <v>#VALUE!</v>
      </c>
      <c r="AF55" s="1">
        <f t="shared" si="13"/>
        <v>0</v>
      </c>
    </row>
    <row r="56" spans="1:32" ht="15.75" customHeight="1" x14ac:dyDescent="0.25">
      <c r="A56" s="11" t="s">
        <v>107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31.5" x14ac:dyDescent="0.25">
      <c r="A57" s="7" t="s">
        <v>108</v>
      </c>
      <c r="B57" s="7" t="s">
        <v>109</v>
      </c>
      <c r="C57" s="7" t="s">
        <v>30</v>
      </c>
      <c r="D57" s="7" t="s">
        <v>31</v>
      </c>
      <c r="E57" s="7">
        <v>0.2</v>
      </c>
      <c r="F57" s="7">
        <v>600</v>
      </c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1">
        <f>G57+I57+K57+M57+O57+Q57+S57+U57+W57+Y57+AA57+AC57</f>
        <v>0</v>
      </c>
      <c r="AF57" s="1">
        <f>H57+J57+L57+N57+P57+R57+T57+V57+X57+Z57+AB57+AD57</f>
        <v>0</v>
      </c>
    </row>
    <row r="58" spans="1:32" ht="31.5" x14ac:dyDescent="0.25">
      <c r="A58" s="7" t="s">
        <v>110</v>
      </c>
      <c r="B58" s="7" t="s">
        <v>111</v>
      </c>
      <c r="C58" s="7" t="s">
        <v>112</v>
      </c>
      <c r="D58" s="7" t="s">
        <v>113</v>
      </c>
      <c r="E58" s="7">
        <v>0.3</v>
      </c>
      <c r="F58" s="7">
        <v>2500</v>
      </c>
      <c r="G58" s="2"/>
      <c r="H58" s="3"/>
      <c r="I58" s="3"/>
      <c r="J58" s="3"/>
      <c r="K58" s="3"/>
      <c r="L58" s="3"/>
      <c r="M58" s="3">
        <v>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1">
        <f t="shared" ref="AE58:AE62" si="14">G58+I58+K58+M58+O58+Q58+S58+U58+W58+Y58+AA58+AC58</f>
        <v>1</v>
      </c>
      <c r="AF58" s="1">
        <f t="shared" ref="AF58:AF62" si="15">H58+J58+L58+N58+P58+R58+T58+V58+X58+Z58+AB58+AD58</f>
        <v>0</v>
      </c>
    </row>
    <row r="59" spans="1:32" ht="31.5" x14ac:dyDescent="0.25">
      <c r="A59" s="7" t="s">
        <v>114</v>
      </c>
      <c r="B59" s="7" t="s">
        <v>90</v>
      </c>
      <c r="C59" s="7" t="s">
        <v>115</v>
      </c>
      <c r="D59" s="7" t="s">
        <v>8</v>
      </c>
      <c r="E59" s="7">
        <v>0.5</v>
      </c>
      <c r="F59" s="7">
        <v>450</v>
      </c>
      <c r="G59" s="2">
        <v>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>
        <v>1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1">
        <f t="shared" si="14"/>
        <v>2</v>
      </c>
      <c r="AF59" s="1">
        <f t="shared" si="15"/>
        <v>0</v>
      </c>
    </row>
    <row r="60" spans="1:32" ht="31.5" x14ac:dyDescent="0.25">
      <c r="A60" s="7" t="s">
        <v>116</v>
      </c>
      <c r="B60" s="7" t="s">
        <v>117</v>
      </c>
      <c r="C60" s="7" t="s">
        <v>118</v>
      </c>
      <c r="D60" s="7" t="s">
        <v>8</v>
      </c>
      <c r="E60" s="7">
        <v>0.2</v>
      </c>
      <c r="F60" s="7">
        <v>450</v>
      </c>
      <c r="G60" s="2">
        <v>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1">
        <f t="shared" si="14"/>
        <v>1</v>
      </c>
      <c r="AF60" s="1">
        <f t="shared" si="15"/>
        <v>0</v>
      </c>
    </row>
    <row r="61" spans="1:32" ht="31.5" x14ac:dyDescent="0.25">
      <c r="A61" s="7" t="s">
        <v>119</v>
      </c>
      <c r="B61" s="7" t="s">
        <v>90</v>
      </c>
      <c r="C61" s="7" t="s">
        <v>115</v>
      </c>
      <c r="D61" s="7" t="s">
        <v>8</v>
      </c>
      <c r="E61" s="7">
        <v>0.5</v>
      </c>
      <c r="F61" s="7">
        <v>450</v>
      </c>
      <c r="G61" s="2">
        <v>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1">
        <f t="shared" si="14"/>
        <v>1</v>
      </c>
      <c r="AF61" s="1">
        <f t="shared" si="15"/>
        <v>0</v>
      </c>
    </row>
    <row r="62" spans="1:32" ht="31.5" x14ac:dyDescent="0.25">
      <c r="A62" s="7" t="s">
        <v>120</v>
      </c>
      <c r="B62" s="7" t="s">
        <v>121</v>
      </c>
      <c r="C62" s="7" t="s">
        <v>18</v>
      </c>
      <c r="D62" s="7">
        <v>212</v>
      </c>
      <c r="E62" s="7">
        <v>0.5</v>
      </c>
      <c r="F62" s="7">
        <v>900</v>
      </c>
      <c r="G62" s="2"/>
      <c r="H62" s="3"/>
      <c r="I62" s="3"/>
      <c r="J62" s="3"/>
      <c r="K62" s="3"/>
      <c r="L62" s="3"/>
      <c r="M62" s="3">
        <v>1</v>
      </c>
      <c r="N62" s="3"/>
      <c r="O62" s="3"/>
      <c r="P62" s="3"/>
      <c r="Q62" s="3"/>
      <c r="R62" s="3"/>
      <c r="S62" s="3">
        <v>1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1">
        <f t="shared" si="14"/>
        <v>2</v>
      </c>
      <c r="AF62" s="1">
        <f t="shared" si="15"/>
        <v>0</v>
      </c>
    </row>
    <row r="63" spans="1:32" ht="15.75" x14ac:dyDescent="0.25">
      <c r="A63" s="16" t="s">
        <v>167</v>
      </c>
      <c r="B63" s="10" t="s">
        <v>165</v>
      </c>
      <c r="C63" s="10" t="s">
        <v>64</v>
      </c>
      <c r="D63" s="10" t="s">
        <v>166</v>
      </c>
      <c r="E63" s="10">
        <v>0.2</v>
      </c>
      <c r="F63" s="10"/>
      <c r="G63" s="2"/>
      <c r="H63" s="3"/>
      <c r="I63" s="3"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1"/>
      <c r="AF63" s="1"/>
    </row>
    <row r="64" spans="1:32" ht="15.75" customHeight="1" x14ac:dyDescent="0.25">
      <c r="A64" s="11" t="s">
        <v>122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31.5" x14ac:dyDescent="0.25">
      <c r="A65" s="7" t="s">
        <v>125</v>
      </c>
      <c r="B65" s="7" t="s">
        <v>123</v>
      </c>
      <c r="C65" s="7" t="s">
        <v>124</v>
      </c>
      <c r="D65" s="8">
        <v>435</v>
      </c>
      <c r="E65" s="7">
        <v>0.5</v>
      </c>
      <c r="F65" s="7">
        <v>1500</v>
      </c>
      <c r="G65" s="2"/>
      <c r="H65" s="3"/>
      <c r="I65" s="3"/>
      <c r="J65" s="3"/>
      <c r="K65" s="3">
        <v>1</v>
      </c>
      <c r="L65" s="3"/>
      <c r="M65" s="3"/>
      <c r="N65" s="3"/>
      <c r="O65" s="3"/>
      <c r="P65" s="3"/>
      <c r="Q65" s="3"/>
      <c r="R65" s="3"/>
      <c r="S65" s="3">
        <v>1</v>
      </c>
      <c r="T65" s="3"/>
      <c r="U65" s="3"/>
      <c r="V65" s="3"/>
      <c r="W65" s="3">
        <v>1</v>
      </c>
      <c r="X65" s="3"/>
      <c r="Y65" s="3"/>
      <c r="Z65" s="3"/>
      <c r="AA65" s="3"/>
      <c r="AB65" s="3"/>
      <c r="AC65" s="3"/>
      <c r="AD65" s="3"/>
      <c r="AE65" s="1">
        <f>G65+I65+K65+M65+O65+Q65+S65+U65+W65+Y65+AA65+AC65</f>
        <v>3</v>
      </c>
      <c r="AF65" s="1">
        <f>H65+J65+L65+N65+P65+R65+T65+V65+X65+Z65+AB65+AD65</f>
        <v>0</v>
      </c>
    </row>
    <row r="66" spans="1:32" ht="31.5" x14ac:dyDescent="0.25">
      <c r="A66" s="7" t="s">
        <v>127</v>
      </c>
      <c r="B66" s="7" t="s">
        <v>126</v>
      </c>
      <c r="C66" s="7" t="s">
        <v>30</v>
      </c>
      <c r="D66" s="7" t="s">
        <v>31</v>
      </c>
      <c r="E66" s="7">
        <v>0.5</v>
      </c>
      <c r="F66" s="7">
        <v>600</v>
      </c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>
        <v>1</v>
      </c>
      <c r="X66" s="3"/>
      <c r="Y66" s="3">
        <v>1</v>
      </c>
      <c r="Z66" s="3"/>
      <c r="AA66" s="3"/>
      <c r="AB66" s="3"/>
      <c r="AC66" s="3"/>
      <c r="AD66" s="3"/>
      <c r="AE66" s="1">
        <f t="shared" ref="AE66:AE67" si="16">G66+I66+K66+M66+O66+Q66+S66+U66+W66+Y66+AA66+AC66</f>
        <v>2</v>
      </c>
      <c r="AF66" s="1">
        <f t="shared" ref="AF66:AF67" si="17">H66+J66+L66+N66+P66+R66+T66+V66+X66+Z66+AB66+AD66</f>
        <v>0</v>
      </c>
    </row>
    <row r="67" spans="1:32" ht="31.5" x14ac:dyDescent="0.25">
      <c r="A67" s="7" t="s">
        <v>164</v>
      </c>
      <c r="B67" s="7" t="s">
        <v>128</v>
      </c>
      <c r="C67" s="7" t="s">
        <v>129</v>
      </c>
      <c r="D67" s="8" t="s">
        <v>130</v>
      </c>
      <c r="E67" s="7">
        <v>0.2</v>
      </c>
      <c r="F67" s="7">
        <v>800</v>
      </c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1">
        <f t="shared" si="16"/>
        <v>0</v>
      </c>
      <c r="AF67" s="1">
        <f t="shared" si="17"/>
        <v>0</v>
      </c>
    </row>
    <row r="68" spans="1:32" ht="15.75" customHeight="1" x14ac:dyDescent="0.25">
      <c r="A68" s="11" t="s">
        <v>131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47.25" x14ac:dyDescent="0.25">
      <c r="A69" s="15" t="s">
        <v>132</v>
      </c>
      <c r="B69" s="15"/>
      <c r="C69" s="15"/>
      <c r="D69" s="7" t="s">
        <v>155</v>
      </c>
      <c r="E69" s="7">
        <v>0.3</v>
      </c>
      <c r="F69" s="7">
        <v>1300</v>
      </c>
      <c r="G69" s="2">
        <v>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1">
        <f>G69+I69+K69+M69+O69+Q69+S69+U69+W69+Y69+AA69+AC69</f>
        <v>1</v>
      </c>
      <c r="AF69" s="1">
        <f>H69+J69+L69+N69+P69+R69+T69+V69+X69+Z69+AB69+AD69</f>
        <v>0</v>
      </c>
    </row>
    <row r="70" spans="1:32" ht="47.25" x14ac:dyDescent="0.25">
      <c r="A70" s="15"/>
      <c r="B70" s="15"/>
      <c r="C70" s="15"/>
      <c r="D70" s="7" t="s">
        <v>156</v>
      </c>
      <c r="E70" s="7">
        <v>0.3</v>
      </c>
      <c r="F70" s="7">
        <v>1300</v>
      </c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1">
        <f t="shared" ref="AE70:AE73" si="18">G70+I70+K70+M70+O70+Q70+S70+U70+W70+Y70+AA70+AC70</f>
        <v>0</v>
      </c>
      <c r="AF70" s="1">
        <f t="shared" ref="AF70:AF73" si="19">H70+J70+L70+N70+P70+R70+T70+V70+X70+Z70+AB70+AD70</f>
        <v>0</v>
      </c>
    </row>
    <row r="71" spans="1:32" ht="15.75" x14ac:dyDescent="0.25">
      <c r="A71" s="15"/>
      <c r="B71" s="15"/>
      <c r="C71" s="15"/>
      <c r="D71" s="7" t="s">
        <v>133</v>
      </c>
      <c r="E71" s="7">
        <v>0.2</v>
      </c>
      <c r="F71" s="7">
        <v>1300</v>
      </c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1">
        <f t="shared" si="18"/>
        <v>0</v>
      </c>
      <c r="AF71" s="1">
        <f t="shared" si="19"/>
        <v>0</v>
      </c>
    </row>
    <row r="72" spans="1:32" ht="31.5" x14ac:dyDescent="0.25">
      <c r="A72" s="15"/>
      <c r="B72" s="15"/>
      <c r="C72" s="15"/>
      <c r="D72" s="7" t="s">
        <v>134</v>
      </c>
      <c r="E72" s="7">
        <v>0.3</v>
      </c>
      <c r="F72" s="7">
        <v>1300</v>
      </c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1">
        <f t="shared" si="18"/>
        <v>0</v>
      </c>
      <c r="AF72" s="1">
        <f t="shared" si="19"/>
        <v>0</v>
      </c>
    </row>
    <row r="73" spans="1:32" ht="15.75" x14ac:dyDescent="0.25">
      <c r="A73" s="15"/>
      <c r="B73" s="15"/>
      <c r="C73" s="15"/>
      <c r="D73" s="7" t="s">
        <v>135</v>
      </c>
      <c r="E73" s="7">
        <v>0.3</v>
      </c>
      <c r="F73" s="7">
        <v>1300</v>
      </c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1">
        <f t="shared" si="18"/>
        <v>0</v>
      </c>
      <c r="AF73" s="1">
        <f t="shared" si="19"/>
        <v>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A26:AF26"/>
    <mergeCell ref="A69:C73"/>
    <mergeCell ref="D7:D8"/>
    <mergeCell ref="A38:A41"/>
    <mergeCell ref="B38:B41"/>
    <mergeCell ref="C38:C41"/>
    <mergeCell ref="E38:E41"/>
    <mergeCell ref="F38:F41"/>
    <mergeCell ref="A32:AF32"/>
    <mergeCell ref="A30:A31"/>
    <mergeCell ref="B30:B31"/>
    <mergeCell ref="C30:C31"/>
    <mergeCell ref="E30:E31"/>
    <mergeCell ref="F30:F31"/>
    <mergeCell ref="A37:AF37"/>
    <mergeCell ref="B7:B8"/>
    <mergeCell ref="O7:P7"/>
    <mergeCell ref="Q7:R7"/>
    <mergeCell ref="S7:T7"/>
    <mergeCell ref="A7:A8"/>
    <mergeCell ref="A14:AF14"/>
    <mergeCell ref="C7:C8"/>
    <mergeCell ref="E7:E8"/>
    <mergeCell ref="F7:F8"/>
    <mergeCell ref="A9:AF9"/>
    <mergeCell ref="A47:AF47"/>
    <mergeCell ref="A56:AF56"/>
    <mergeCell ref="A64:AF64"/>
    <mergeCell ref="A68:AF68"/>
    <mergeCell ref="A1:AF1"/>
    <mergeCell ref="A2:AF2"/>
    <mergeCell ref="U7:V7"/>
    <mergeCell ref="W7:X7"/>
    <mergeCell ref="Y7:Z7"/>
    <mergeCell ref="AA7:AB7"/>
    <mergeCell ref="AC7:AD7"/>
    <mergeCell ref="AE7:AF7"/>
    <mergeCell ref="G7:H7"/>
    <mergeCell ref="I7:J7"/>
    <mergeCell ref="K7:L7"/>
    <mergeCell ref="M7:N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Shutyuk</cp:lastModifiedBy>
  <dcterms:created xsi:type="dcterms:W3CDTF">2025-01-26T19:02:03Z</dcterms:created>
  <dcterms:modified xsi:type="dcterms:W3CDTF">2026-02-10T06:15:31Z</dcterms:modified>
</cp:coreProperties>
</file>